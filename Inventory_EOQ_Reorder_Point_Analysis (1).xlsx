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<sst xmlns="http://schemas.openxmlformats.org/spreadsheetml/2006/main" count="71" uniqueCount="54">
  <si>
    <t xml:space="preserve">Flipkart-Style SKU Inventory Optimization — EOQ &amp; Reorder Point Analysis</t>
  </si>
  <si>
    <t xml:space="preserve">Z-score (95% service level):</t>
  </si>
  <si>
    <t xml:space="preserve">(blue cell = editable input; adjust to change service level assumption)</t>
  </si>
  <si>
    <t xml:space="preserve">SKU</t>
  </si>
  <si>
    <t xml:space="preserve">Category</t>
  </si>
  <si>
    <t xml:space="preserve">Annual Demand (units)</t>
  </si>
  <si>
    <t xml:space="preserve">Ordering Cost/Order ($)</t>
  </si>
  <si>
    <t xml:space="preserve">Unit Cost ($)</t>
  </si>
  <si>
    <t xml:space="preserve">Holding Cost % </t>
  </si>
  <si>
    <t xml:space="preserve">Holding Cost/Unit/Yr ($)</t>
  </si>
  <si>
    <t xml:space="preserve">Lead Time (days)</t>
  </si>
  <si>
    <t xml:space="preserve">Daily Demand Std Dev</t>
  </si>
  <si>
    <t xml:space="preserve">EOQ (units)</t>
  </si>
  <si>
    <t xml:space="preserve">Safety Stock (units)</t>
  </si>
  <si>
    <t xml:space="preserve">Reorder Point (units)</t>
  </si>
  <si>
    <t xml:space="preserve">Annual Ordering+Holding Cost ($)</t>
  </si>
  <si>
    <t xml:space="preserve">FK-1001</t>
  </si>
  <si>
    <t xml:space="preserve">Apparel</t>
  </si>
  <si>
    <t xml:space="preserve">FK-1002</t>
  </si>
  <si>
    <t xml:space="preserve">FK-1003</t>
  </si>
  <si>
    <t xml:space="preserve">Grocery</t>
  </si>
  <si>
    <t xml:space="preserve">FK-1004</t>
  </si>
  <si>
    <t xml:space="preserve">Home &amp; Kitchen</t>
  </si>
  <si>
    <t xml:space="preserve">FK-1005</t>
  </si>
  <si>
    <t xml:space="preserve">Books</t>
  </si>
  <si>
    <t xml:space="preserve">FK-1006</t>
  </si>
  <si>
    <t xml:space="preserve">FK-1007</t>
  </si>
  <si>
    <t xml:space="preserve">FK-1008</t>
  </si>
  <si>
    <t xml:space="preserve">FK-1009</t>
  </si>
  <si>
    <t xml:space="preserve">Footwear</t>
  </si>
  <si>
    <t xml:space="preserve">FK-1010</t>
  </si>
  <si>
    <t xml:space="preserve">FK-1011</t>
  </si>
  <si>
    <t xml:space="preserve">Toys</t>
  </si>
  <si>
    <t xml:space="preserve">FK-1012</t>
  </si>
  <si>
    <t xml:space="preserve">Beauty</t>
  </si>
  <si>
    <t xml:space="preserve">FK-1013</t>
  </si>
  <si>
    <t xml:space="preserve">FK-1014</t>
  </si>
  <si>
    <t xml:space="preserve">FK-1015</t>
  </si>
  <si>
    <t xml:space="preserve">FK-1016</t>
  </si>
  <si>
    <t xml:space="preserve">Electronics</t>
  </si>
  <si>
    <t xml:space="preserve">FK-1017</t>
  </si>
  <si>
    <t xml:space="preserve">FK-1018</t>
  </si>
  <si>
    <t xml:space="preserve">FK-1019</t>
  </si>
  <si>
    <t xml:space="preserve">FK-1020</t>
  </si>
  <si>
    <t xml:space="preserve">FK-1021</t>
  </si>
  <si>
    <t xml:space="preserve">FK-1022</t>
  </si>
  <si>
    <t xml:space="preserve">FK-1023</t>
  </si>
  <si>
    <t xml:space="preserve">FK-1024</t>
  </si>
  <si>
    <t xml:space="preserve">FK-1025</t>
  </si>
  <si>
    <t xml:space="preserve">Summary Metrics</t>
  </si>
  <si>
    <t xml:space="preserve">Total SKUs analyzed</t>
  </si>
  <si>
    <t xml:space="preserve">Avg EOQ (units)</t>
  </si>
  <si>
    <t xml:space="preserve">Avg Reorder Point (units)</t>
  </si>
  <si>
    <t xml:space="preserve">Total Annual Inventory Cost ($)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</si>
</sst>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EOQ by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'Inventory Analysis'!J4</c:f>
              <c:strCache>
                <c:ptCount val="1"/>
                <c:pt idx="0">
                  <c:v>EOQ (units)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Analysis'!$A$5:$A$14</c:f>
              <c:strCache>
                <c:ptCount val="10"/>
                <c:pt idx="0">
                  <c:v>FK-1001</c:v>
                </c:pt>
                <c:pt idx="1">
                  <c:v>FK-1002</c:v>
                </c:pt>
                <c:pt idx="2">
                  <c:v>FK-1003</c:v>
                </c:pt>
                <c:pt idx="3">
                  <c:v>FK-1004</c:v>
                </c:pt>
                <c:pt idx="4">
                  <c:v>FK-1005</c:v>
                </c:pt>
                <c:pt idx="5">
                  <c:v>FK-1006</c:v>
                </c:pt>
                <c:pt idx="6">
                  <c:v>FK-1007</c:v>
                </c:pt>
                <c:pt idx="7">
                  <c:v>FK-1008</c:v>
                </c:pt>
                <c:pt idx="8">
                  <c:v>FK-1009</c:v>
                </c:pt>
                <c:pt idx="9">
                  <c:v>FK-1010</c:v>
                </c:pt>
              </c:strCache>
            </c:strRef>
          </c:cat>
          <c:val>
            <c:numRef>
              <c:f>'Inventory Analysis'!$J$5:$J$14</c:f>
              <c:numCache>
                <c:formatCode>General</c:formatCode>
                <c:ptCount val="10"/>
                <c:pt idx="0">
                  <c:v>131</c:v>
                </c:pt>
                <c:pt idx="1">
                  <c:v>299</c:v>
                </c:pt>
                <c:pt idx="2">
                  <c:v>135</c:v>
                </c:pt>
                <c:pt idx="3">
                  <c:v>263</c:v>
                </c:pt>
                <c:pt idx="4">
                  <c:v>125</c:v>
                </c:pt>
                <c:pt idx="5">
                  <c:v>163</c:v>
                </c:pt>
                <c:pt idx="6">
                  <c:v>64</c:v>
                </c:pt>
                <c:pt idx="7">
                  <c:v>143</c:v>
                </c:pt>
                <c:pt idx="8">
                  <c:v>153</c:v>
                </c:pt>
                <c:pt idx="9">
                  <c:v>116</c:v>
                </c:pt>
              </c:numCache>
            </c:numRef>
          </c:val>
        </c:ser>
        <c:gapWidth val="150"/>
        <c:overlap val="0"/>
        <c:axId val="70322555"/>
        <c:axId val="38814101"/>
      </c:barChart>
      <c:catAx>
        <c:axId val="70322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14101"/>
        <c:crosses val="autoZero"/>
        <c:auto val="1"/>
        <c:lblAlgn val="ctr"/>
        <c:lblOffset val="100"/>
        <c:noMultiLvlLbl val="0"/>
      </c:catAx>
      <c:valAx>
        <c:axId val="38814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22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160560</xdr:rowOff>
    </xdr:from>
    <xdr:to>
      <xdr:col>6</xdr:col>
      <xdr:colOff>699840</xdr:colOff>
      <xdr:row>54</xdr:row>
      <xdr:rowOff>161640</xdr:rowOff>
    </xdr:to>
    <xdr:graphicFrame>
      <xdr:nvGraphicFramePr>
        <xdr:cNvPr id="0" name="Chart 1"/>
        <xdr:cNvGraphicFramePr/>
      </xdr:nvGraphicFramePr>
      <xdr:xfrm>
        <a:off x="0" y="74484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C2" s="3" t="n">
        <v>1.65</v>
      </c>
      <c r="D2" s="4" t="s">
        <v>2</v>
      </c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customFormat="false" ht="15" hidden="false" customHeight="false" outlineLevel="0" collapsed="false">
      <c r="A5" s="6" t="s">
        <v>16</v>
      </c>
      <c r="B5" s="6" t="s">
        <v>17</v>
      </c>
      <c r="C5" s="6" t="n">
        <v>2019</v>
      </c>
      <c r="D5" s="6" t="n">
        <v>483.7</v>
      </c>
      <c r="E5" s="6" t="n">
        <v>672.64</v>
      </c>
      <c r="F5" s="7" t="n">
        <v>0.17</v>
      </c>
      <c r="G5" s="8" t="n">
        <f aca="false">E5*F5</f>
        <v>114.3488</v>
      </c>
      <c r="H5" s="6" t="n">
        <v>3</v>
      </c>
      <c r="I5" s="6" t="n">
        <v>1.8</v>
      </c>
      <c r="J5" s="8" t="n">
        <f aca="false">ROUND(SQRT(2*C5*D5/G5),0)</f>
        <v>131</v>
      </c>
      <c r="K5" s="8" t="n">
        <f aca="false">ROUND($C$2*I5*SQRT(H5),0)</f>
        <v>5</v>
      </c>
      <c r="L5" s="8" t="n">
        <f aca="false">ROUND((C5/365)*H5+K5,0)</f>
        <v>22</v>
      </c>
      <c r="M5" s="8" t="n">
        <f aca="false">ROUND((C5/J5)*D5+(J5/2)*G5,2)</f>
        <v>14944.73</v>
      </c>
    </row>
    <row r="6" customFormat="false" ht="15" hidden="false" customHeight="false" outlineLevel="0" collapsed="false">
      <c r="A6" s="6" t="s">
        <v>18</v>
      </c>
      <c r="B6" s="6" t="s">
        <v>17</v>
      </c>
      <c r="C6" s="6" t="n">
        <v>15025</v>
      </c>
      <c r="D6" s="6" t="n">
        <v>164.3</v>
      </c>
      <c r="E6" s="6" t="n">
        <v>306.74</v>
      </c>
      <c r="F6" s="7" t="n">
        <v>0.18</v>
      </c>
      <c r="G6" s="8" t="n">
        <f aca="false">E6*F6</f>
        <v>55.2132</v>
      </c>
      <c r="H6" s="6" t="n">
        <v>14</v>
      </c>
      <c r="I6" s="6" t="n">
        <v>6.4</v>
      </c>
      <c r="J6" s="8" t="n">
        <f aca="false">ROUND(SQRT(2*C6*D6/G6),0)</f>
        <v>299</v>
      </c>
      <c r="K6" s="8" t="n">
        <f aca="false">ROUND($C$2*I6*SQRT(H6),0)</f>
        <v>40</v>
      </c>
      <c r="L6" s="8" t="n">
        <f aca="false">ROUND((C6/365)*H6+K6,0)</f>
        <v>616</v>
      </c>
      <c r="M6" s="8" t="n">
        <f aca="false">ROUND((C6/J6)*D6+(J6/2)*G6,2)</f>
        <v>16510.59</v>
      </c>
    </row>
    <row r="7" customFormat="false" ht="15" hidden="false" customHeight="false" outlineLevel="0" collapsed="false">
      <c r="A7" s="6" t="s">
        <v>19</v>
      </c>
      <c r="B7" s="6" t="s">
        <v>20</v>
      </c>
      <c r="C7" s="6" t="n">
        <v>14946</v>
      </c>
      <c r="D7" s="6" t="n">
        <v>249.2</v>
      </c>
      <c r="E7" s="6" t="n">
        <v>1506.02</v>
      </c>
      <c r="F7" s="7" t="n">
        <v>0.27</v>
      </c>
      <c r="G7" s="8" t="n">
        <f aca="false">E7*F7</f>
        <v>406.6254</v>
      </c>
      <c r="H7" s="6" t="n">
        <v>3</v>
      </c>
      <c r="I7" s="6" t="n">
        <v>13.9</v>
      </c>
      <c r="J7" s="8" t="n">
        <f aca="false">ROUND(SQRT(2*C7*D7/G7),0)</f>
        <v>135</v>
      </c>
      <c r="K7" s="8" t="n">
        <f aca="false">ROUND($C$2*I7*SQRT(H7),0)</f>
        <v>40</v>
      </c>
      <c r="L7" s="8" t="n">
        <f aca="false">ROUND((C7/365)*H7+K7,0)</f>
        <v>163</v>
      </c>
      <c r="M7" s="8" t="n">
        <f aca="false">ROUND((C7/J7)*D7+(J7/2)*G7,2)</f>
        <v>55036.42</v>
      </c>
    </row>
    <row r="8" customFormat="false" ht="15" hidden="false" customHeight="false" outlineLevel="0" collapsed="false">
      <c r="A8" s="6" t="s">
        <v>21</v>
      </c>
      <c r="B8" s="6" t="s">
        <v>22</v>
      </c>
      <c r="C8" s="6" t="n">
        <v>15048</v>
      </c>
      <c r="D8" s="6" t="n">
        <v>303.11</v>
      </c>
      <c r="E8" s="6" t="n">
        <v>456.26</v>
      </c>
      <c r="F8" s="7" t="n">
        <v>0.29</v>
      </c>
      <c r="G8" s="8" t="n">
        <f aca="false">E8*F8</f>
        <v>132.3154</v>
      </c>
      <c r="H8" s="6" t="n">
        <v>7</v>
      </c>
      <c r="I8" s="6" t="n">
        <v>7.2</v>
      </c>
      <c r="J8" s="8" t="n">
        <f aca="false">ROUND(SQRT(2*C8*D8/G8),0)</f>
        <v>263</v>
      </c>
      <c r="K8" s="8" t="n">
        <f aca="false">ROUND($C$2*I8*SQRT(H8),0)</f>
        <v>31</v>
      </c>
      <c r="L8" s="8" t="n">
        <f aca="false">ROUND((C8/365)*H8+K8,0)</f>
        <v>320</v>
      </c>
      <c r="M8" s="8" t="n">
        <f aca="false">ROUND((C8/J8)*D8+(J8/2)*G8,2)</f>
        <v>34742.44</v>
      </c>
    </row>
    <row r="9" customFormat="false" ht="15" hidden="false" customHeight="false" outlineLevel="0" collapsed="false">
      <c r="A9" s="6" t="s">
        <v>23</v>
      </c>
      <c r="B9" s="6" t="s">
        <v>24</v>
      </c>
      <c r="C9" s="6" t="n">
        <v>4369</v>
      </c>
      <c r="D9" s="6" t="n">
        <v>311.54</v>
      </c>
      <c r="E9" s="6" t="n">
        <v>912.37</v>
      </c>
      <c r="F9" s="7" t="n">
        <v>0.19</v>
      </c>
      <c r="G9" s="8" t="n">
        <f aca="false">E9*F9</f>
        <v>173.3503</v>
      </c>
      <c r="H9" s="6" t="n">
        <v>3</v>
      </c>
      <c r="I9" s="6" t="n">
        <v>4</v>
      </c>
      <c r="J9" s="8" t="n">
        <f aca="false">ROUND(SQRT(2*C9*D9/G9),0)</f>
        <v>125</v>
      </c>
      <c r="K9" s="8" t="n">
        <f aca="false">ROUND($C$2*I9*SQRT(H9),0)</f>
        <v>11</v>
      </c>
      <c r="L9" s="8" t="n">
        <f aca="false">ROUND((C9/365)*H9+K9,0)</f>
        <v>47</v>
      </c>
      <c r="M9" s="8" t="n">
        <f aca="false">ROUND((C9/J9)*D9+(J9/2)*G9,2)</f>
        <v>21723.34</v>
      </c>
    </row>
    <row r="10" customFormat="false" ht="15" hidden="false" customHeight="false" outlineLevel="0" collapsed="false">
      <c r="A10" s="6" t="s">
        <v>25</v>
      </c>
      <c r="B10" s="6" t="s">
        <v>17</v>
      </c>
      <c r="C10" s="6" t="n">
        <v>13603</v>
      </c>
      <c r="D10" s="6" t="n">
        <v>185.46</v>
      </c>
      <c r="E10" s="6" t="n">
        <v>789.49</v>
      </c>
      <c r="F10" s="7" t="n">
        <v>0.24</v>
      </c>
      <c r="G10" s="8" t="n">
        <f aca="false">E10*F10</f>
        <v>189.4776</v>
      </c>
      <c r="H10" s="6" t="n">
        <v>7</v>
      </c>
      <c r="I10" s="6" t="n">
        <v>11</v>
      </c>
      <c r="J10" s="8" t="n">
        <f aca="false">ROUND(SQRT(2*C10*D10/G10),0)</f>
        <v>163</v>
      </c>
      <c r="K10" s="8" t="n">
        <f aca="false">ROUND($C$2*I10*SQRT(H10),0)</f>
        <v>48</v>
      </c>
      <c r="L10" s="8" t="n">
        <f aca="false">ROUND((C10/365)*H10+K10,0)</f>
        <v>309</v>
      </c>
      <c r="M10" s="8" t="n">
        <f aca="false">ROUND((C10/J10)*D10+(J10/2)*G10,2)</f>
        <v>30919.8</v>
      </c>
    </row>
    <row r="11" customFormat="false" ht="15" hidden="false" customHeight="false" outlineLevel="0" collapsed="false">
      <c r="A11" s="6" t="s">
        <v>26</v>
      </c>
      <c r="B11" s="6" t="s">
        <v>17</v>
      </c>
      <c r="C11" s="6" t="n">
        <v>2701</v>
      </c>
      <c r="D11" s="6" t="n">
        <v>447.57</v>
      </c>
      <c r="E11" s="6" t="n">
        <v>1950.83</v>
      </c>
      <c r="F11" s="7" t="n">
        <v>0.3</v>
      </c>
      <c r="G11" s="8" t="n">
        <f aca="false">E11*F11</f>
        <v>585.249</v>
      </c>
      <c r="H11" s="6" t="n">
        <v>5</v>
      </c>
      <c r="I11" s="6" t="n">
        <v>2.7</v>
      </c>
      <c r="J11" s="8" t="n">
        <f aca="false">ROUND(SQRT(2*C11*D11/G11),0)</f>
        <v>64</v>
      </c>
      <c r="K11" s="8" t="n">
        <f aca="false">ROUND($C$2*I11*SQRT(H11),0)</f>
        <v>10</v>
      </c>
      <c r="L11" s="8" t="n">
        <f aca="false">ROUND((C11/365)*H11+K11,0)</f>
        <v>47</v>
      </c>
      <c r="M11" s="8" t="n">
        <f aca="false">ROUND((C11/J11)*D11+(J11/2)*G11,2)</f>
        <v>37616.82</v>
      </c>
    </row>
    <row r="12" customFormat="false" ht="15" hidden="false" customHeight="false" outlineLevel="0" collapsed="false">
      <c r="A12" s="6" t="s">
        <v>27</v>
      </c>
      <c r="B12" s="6" t="s">
        <v>24</v>
      </c>
      <c r="C12" s="6" t="n">
        <v>10308</v>
      </c>
      <c r="D12" s="6" t="n">
        <v>354.03</v>
      </c>
      <c r="E12" s="6" t="n">
        <v>2098.55</v>
      </c>
      <c r="F12" s="7" t="n">
        <v>0.17</v>
      </c>
      <c r="G12" s="8" t="n">
        <f aca="false">E12*F12</f>
        <v>356.7535</v>
      </c>
      <c r="H12" s="6" t="n">
        <v>7</v>
      </c>
      <c r="I12" s="6" t="n">
        <v>5.7</v>
      </c>
      <c r="J12" s="8" t="n">
        <f aca="false">ROUND(SQRT(2*C12*D12/G12),0)</f>
        <v>143</v>
      </c>
      <c r="K12" s="8" t="n">
        <f aca="false">ROUND($C$2*I12*SQRT(H12),0)</f>
        <v>25</v>
      </c>
      <c r="L12" s="8" t="n">
        <f aca="false">ROUND((C12/365)*H12+K12,0)</f>
        <v>223</v>
      </c>
      <c r="M12" s="8" t="n">
        <f aca="false">ROUND((C12/J12)*D12+(J12/2)*G12,2)</f>
        <v>51027.74</v>
      </c>
    </row>
    <row r="13" customFormat="false" ht="15" hidden="false" customHeight="false" outlineLevel="0" collapsed="false">
      <c r="A13" s="6" t="s">
        <v>28</v>
      </c>
      <c r="B13" s="6" t="s">
        <v>29</v>
      </c>
      <c r="C13" s="6" t="n">
        <v>3539</v>
      </c>
      <c r="D13" s="6" t="n">
        <v>424.11</v>
      </c>
      <c r="E13" s="6" t="n">
        <v>494.16</v>
      </c>
      <c r="F13" s="7" t="n">
        <v>0.26</v>
      </c>
      <c r="G13" s="8" t="n">
        <f aca="false">E13*F13</f>
        <v>128.4816</v>
      </c>
      <c r="H13" s="6" t="n">
        <v>5</v>
      </c>
      <c r="I13" s="6" t="n">
        <v>2.6</v>
      </c>
      <c r="J13" s="8" t="n">
        <f aca="false">ROUND(SQRT(2*C13*D13/G13),0)</f>
        <v>153</v>
      </c>
      <c r="K13" s="8" t="n">
        <f aca="false">ROUND($C$2*I13*SQRT(H13),0)</f>
        <v>10</v>
      </c>
      <c r="L13" s="8" t="n">
        <f aca="false">ROUND((C13/365)*H13+K13,0)</f>
        <v>58</v>
      </c>
      <c r="M13" s="8" t="n">
        <f aca="false">ROUND((C13/J13)*D13+(J13/2)*G13,2)</f>
        <v>19638.81</v>
      </c>
    </row>
    <row r="14" customFormat="false" ht="15" hidden="false" customHeight="false" outlineLevel="0" collapsed="false">
      <c r="A14" s="6" t="s">
        <v>30</v>
      </c>
      <c r="B14" s="6" t="s">
        <v>29</v>
      </c>
      <c r="C14" s="6" t="n">
        <v>8396</v>
      </c>
      <c r="D14" s="6" t="n">
        <v>458.08</v>
      </c>
      <c r="E14" s="6" t="n">
        <v>2119.7</v>
      </c>
      <c r="F14" s="7" t="n">
        <v>0.27</v>
      </c>
      <c r="G14" s="8" t="n">
        <f aca="false">E14*F14</f>
        <v>572.319</v>
      </c>
      <c r="H14" s="6" t="n">
        <v>5</v>
      </c>
      <c r="I14" s="6" t="n">
        <v>8.2</v>
      </c>
      <c r="J14" s="8" t="n">
        <f aca="false">ROUND(SQRT(2*C14*D14/G14),0)</f>
        <v>116</v>
      </c>
      <c r="K14" s="8" t="n">
        <f aca="false">ROUND($C$2*I14*SQRT(H14),0)</f>
        <v>30</v>
      </c>
      <c r="L14" s="8" t="n">
        <f aca="false">ROUND((C14/365)*H14+K14,0)</f>
        <v>145</v>
      </c>
      <c r="M14" s="8" t="n">
        <f aca="false">ROUND((C14/J14)*D14+(J14/2)*G14,2)</f>
        <v>66350.02</v>
      </c>
    </row>
    <row r="15" customFormat="false" ht="15" hidden="false" customHeight="false" outlineLevel="0" collapsed="false">
      <c r="A15" s="6" t="s">
        <v>31</v>
      </c>
      <c r="B15" s="6" t="s">
        <v>32</v>
      </c>
      <c r="C15" s="6" t="n">
        <v>14345</v>
      </c>
      <c r="D15" s="6" t="n">
        <v>270.48</v>
      </c>
      <c r="E15" s="6" t="n">
        <v>590.58</v>
      </c>
      <c r="F15" s="7" t="n">
        <v>0.29</v>
      </c>
      <c r="G15" s="8" t="n">
        <f aca="false">E15*F15</f>
        <v>171.2682</v>
      </c>
      <c r="H15" s="6" t="n">
        <v>7</v>
      </c>
      <c r="I15" s="6" t="n">
        <v>8</v>
      </c>
      <c r="J15" s="8" t="n">
        <f aca="false">ROUND(SQRT(2*C15*D15/G15),0)</f>
        <v>213</v>
      </c>
      <c r="K15" s="8" t="n">
        <f aca="false">ROUND($C$2*I15*SQRT(H15),0)</f>
        <v>35</v>
      </c>
      <c r="L15" s="8" t="n">
        <f aca="false">ROUND((C15/365)*H15+K15,0)</f>
        <v>310</v>
      </c>
      <c r="M15" s="8" t="n">
        <f aca="false">ROUND((C15/J15)*D15+(J15/2)*G15,2)</f>
        <v>36456.19</v>
      </c>
    </row>
    <row r="16" customFormat="false" ht="15" hidden="false" customHeight="false" outlineLevel="0" collapsed="false">
      <c r="A16" s="6" t="s">
        <v>33</v>
      </c>
      <c r="B16" s="6" t="s">
        <v>34</v>
      </c>
      <c r="C16" s="6" t="n">
        <v>14164</v>
      </c>
      <c r="D16" s="6" t="n">
        <v>548.11</v>
      </c>
      <c r="E16" s="6" t="n">
        <v>1635.7</v>
      </c>
      <c r="F16" s="7" t="n">
        <v>0.17</v>
      </c>
      <c r="G16" s="8" t="n">
        <f aca="false">E16*F16</f>
        <v>278.069</v>
      </c>
      <c r="H16" s="6" t="n">
        <v>5</v>
      </c>
      <c r="I16" s="6" t="n">
        <v>8.2</v>
      </c>
      <c r="J16" s="8" t="n">
        <f aca="false">ROUND(SQRT(2*C16*D16/G16),0)</f>
        <v>236</v>
      </c>
      <c r="K16" s="8" t="n">
        <f aca="false">ROUND($C$2*I16*SQRT(H16),0)</f>
        <v>30</v>
      </c>
      <c r="L16" s="8" t="n">
        <f aca="false">ROUND((C16/365)*H16+K16,0)</f>
        <v>224</v>
      </c>
      <c r="M16" s="8" t="n">
        <f aca="false">ROUND((C16/J16)*D16+(J16/2)*G16,2)</f>
        <v>65708.03</v>
      </c>
    </row>
    <row r="17" customFormat="false" ht="15" hidden="false" customHeight="false" outlineLevel="0" collapsed="false">
      <c r="A17" s="6" t="s">
        <v>35</v>
      </c>
      <c r="B17" s="6" t="s">
        <v>29</v>
      </c>
      <c r="C17" s="6" t="n">
        <v>15238</v>
      </c>
      <c r="D17" s="6" t="n">
        <v>554.02</v>
      </c>
      <c r="E17" s="6" t="n">
        <v>1046.55</v>
      </c>
      <c r="F17" s="7" t="n">
        <v>0.18</v>
      </c>
      <c r="G17" s="8" t="n">
        <f aca="false">E17*F17</f>
        <v>188.379</v>
      </c>
      <c r="H17" s="6" t="n">
        <v>5</v>
      </c>
      <c r="I17" s="6" t="n">
        <v>11.6</v>
      </c>
      <c r="J17" s="8" t="n">
        <f aca="false">ROUND(SQRT(2*C17*D17/G17),0)</f>
        <v>299</v>
      </c>
      <c r="K17" s="8" t="n">
        <f aca="false">ROUND($C$2*I17*SQRT(H17),0)</f>
        <v>43</v>
      </c>
      <c r="L17" s="8" t="n">
        <f aca="false">ROUND((C17/365)*H17+K17,0)</f>
        <v>252</v>
      </c>
      <c r="M17" s="8" t="n">
        <f aca="false">ROUND((C17/J17)*D17+(J17/2)*G17,2)</f>
        <v>56397.3</v>
      </c>
    </row>
    <row r="18" customFormat="false" ht="15" hidden="false" customHeight="false" outlineLevel="0" collapsed="false">
      <c r="A18" s="6" t="s">
        <v>36</v>
      </c>
      <c r="B18" s="6" t="s">
        <v>17</v>
      </c>
      <c r="C18" s="6" t="n">
        <v>2743</v>
      </c>
      <c r="D18" s="6" t="n">
        <v>537.5</v>
      </c>
      <c r="E18" s="6" t="n">
        <v>449.88</v>
      </c>
      <c r="F18" s="7" t="n">
        <v>0.17</v>
      </c>
      <c r="G18" s="8" t="n">
        <f aca="false">E18*F18</f>
        <v>76.4796</v>
      </c>
      <c r="H18" s="6" t="n">
        <v>10</v>
      </c>
      <c r="I18" s="6" t="n">
        <v>2.2</v>
      </c>
      <c r="J18" s="8" t="n">
        <f aca="false">ROUND(SQRT(2*C18*D18/G18),0)</f>
        <v>196</v>
      </c>
      <c r="K18" s="8" t="n">
        <f aca="false">ROUND($C$2*I18*SQRT(H18),0)</f>
        <v>11</v>
      </c>
      <c r="L18" s="8" t="n">
        <f aca="false">ROUND((C18/365)*H18+K18,0)</f>
        <v>86</v>
      </c>
      <c r="M18" s="8" t="n">
        <f aca="false">ROUND((C18/J18)*D18+(J18/2)*G18,2)</f>
        <v>15017.26</v>
      </c>
    </row>
    <row r="19" customFormat="false" ht="15" hidden="false" customHeight="false" outlineLevel="0" collapsed="false">
      <c r="A19" s="6" t="s">
        <v>37</v>
      </c>
      <c r="B19" s="6" t="s">
        <v>24</v>
      </c>
      <c r="C19" s="6" t="n">
        <v>13704</v>
      </c>
      <c r="D19" s="6" t="n">
        <v>418.15</v>
      </c>
      <c r="E19" s="6" t="n">
        <v>1212.68</v>
      </c>
      <c r="F19" s="7" t="n">
        <v>0.19</v>
      </c>
      <c r="G19" s="8" t="n">
        <f aca="false">E19*F19</f>
        <v>230.4092</v>
      </c>
      <c r="H19" s="6" t="n">
        <v>14</v>
      </c>
      <c r="I19" s="6" t="n">
        <v>13.7</v>
      </c>
      <c r="J19" s="8" t="n">
        <f aca="false">ROUND(SQRT(2*C19*D19/G19),0)</f>
        <v>223</v>
      </c>
      <c r="K19" s="8" t="n">
        <f aca="false">ROUND($C$2*I19*SQRT(H19),0)</f>
        <v>85</v>
      </c>
      <c r="L19" s="8" t="n">
        <f aca="false">ROUND((C19/365)*H19+K19,0)</f>
        <v>611</v>
      </c>
      <c r="M19" s="8" t="n">
        <f aca="false">ROUND((C19/J19)*D19+(J19/2)*G19,2)</f>
        <v>51387.16</v>
      </c>
    </row>
    <row r="20" customFormat="false" ht="15" hidden="false" customHeight="false" outlineLevel="0" collapsed="false">
      <c r="A20" s="6" t="s">
        <v>38</v>
      </c>
      <c r="B20" s="6" t="s">
        <v>39</v>
      </c>
      <c r="C20" s="6" t="n">
        <v>4953</v>
      </c>
      <c r="D20" s="6" t="n">
        <v>456.77</v>
      </c>
      <c r="E20" s="6" t="n">
        <v>1379.47</v>
      </c>
      <c r="F20" s="7" t="n">
        <v>0.19</v>
      </c>
      <c r="G20" s="8" t="n">
        <f aca="false">E20*F20</f>
        <v>262.0993</v>
      </c>
      <c r="H20" s="6" t="n">
        <v>7</v>
      </c>
      <c r="I20" s="6" t="n">
        <v>2.4</v>
      </c>
      <c r="J20" s="8" t="n">
        <f aca="false">ROUND(SQRT(2*C20*D20/G20),0)</f>
        <v>131</v>
      </c>
      <c r="K20" s="8" t="n">
        <f aca="false">ROUND($C$2*I20*SQRT(H20),0)</f>
        <v>10</v>
      </c>
      <c r="L20" s="8" t="n">
        <f aca="false">ROUND((C20/365)*H20+K20,0)</f>
        <v>105</v>
      </c>
      <c r="M20" s="8" t="n">
        <f aca="false">ROUND((C20/J20)*D20+(J20/2)*G20,2)</f>
        <v>34437.59</v>
      </c>
    </row>
    <row r="21" customFormat="false" ht="15" hidden="false" customHeight="false" outlineLevel="0" collapsed="false">
      <c r="A21" s="6" t="s">
        <v>40</v>
      </c>
      <c r="B21" s="6" t="s">
        <v>24</v>
      </c>
      <c r="C21" s="6" t="n">
        <v>6382</v>
      </c>
      <c r="D21" s="6" t="n">
        <v>354.18</v>
      </c>
      <c r="E21" s="6" t="n">
        <v>2388.23</v>
      </c>
      <c r="F21" s="7" t="n">
        <v>0.28</v>
      </c>
      <c r="G21" s="8" t="n">
        <f aca="false">E21*F21</f>
        <v>668.7044</v>
      </c>
      <c r="H21" s="6" t="n">
        <v>7</v>
      </c>
      <c r="I21" s="6" t="n">
        <v>6.9</v>
      </c>
      <c r="J21" s="8" t="n">
        <f aca="false">ROUND(SQRT(2*C21*D21/G21),0)</f>
        <v>82</v>
      </c>
      <c r="K21" s="8" t="n">
        <f aca="false">ROUND($C$2*I21*SQRT(H21),0)</f>
        <v>30</v>
      </c>
      <c r="L21" s="8" t="n">
        <f aca="false">ROUND((C21/365)*H21+K21,0)</f>
        <v>152</v>
      </c>
      <c r="M21" s="8" t="n">
        <f aca="false">ROUND((C21/J21)*D21+(J21/2)*G21,2)</f>
        <v>54982.45</v>
      </c>
    </row>
    <row r="22" customFormat="false" ht="15" hidden="false" customHeight="false" outlineLevel="0" collapsed="false">
      <c r="A22" s="6" t="s">
        <v>41</v>
      </c>
      <c r="B22" s="6" t="s">
        <v>22</v>
      </c>
      <c r="C22" s="6" t="n">
        <v>17835</v>
      </c>
      <c r="D22" s="6" t="n">
        <v>560.68</v>
      </c>
      <c r="E22" s="6" t="n">
        <v>2186.65</v>
      </c>
      <c r="F22" s="7" t="n">
        <v>0.19</v>
      </c>
      <c r="G22" s="8" t="n">
        <f aca="false">E22*F22</f>
        <v>415.4635</v>
      </c>
      <c r="H22" s="6" t="n">
        <v>14</v>
      </c>
      <c r="I22" s="6" t="n">
        <v>14.8</v>
      </c>
      <c r="J22" s="8" t="n">
        <f aca="false">ROUND(SQRT(2*C22*D22/G22),0)</f>
        <v>219</v>
      </c>
      <c r="K22" s="8" t="n">
        <f aca="false">ROUND($C$2*I22*SQRT(H22),0)</f>
        <v>91</v>
      </c>
      <c r="L22" s="8" t="n">
        <f aca="false">ROUND((C22/365)*H22+K22,0)</f>
        <v>775</v>
      </c>
      <c r="M22" s="8" t="n">
        <f aca="false">ROUND((C22/J22)*D22+(J22/2)*G22,2)</f>
        <v>91154.11</v>
      </c>
    </row>
    <row r="23" customFormat="false" ht="15" hidden="false" customHeight="false" outlineLevel="0" collapsed="false">
      <c r="A23" s="6" t="s">
        <v>42</v>
      </c>
      <c r="B23" s="6" t="s">
        <v>22</v>
      </c>
      <c r="C23" s="6" t="n">
        <v>13452</v>
      </c>
      <c r="D23" s="6" t="n">
        <v>493.13</v>
      </c>
      <c r="E23" s="6" t="n">
        <v>1385.3</v>
      </c>
      <c r="F23" s="7" t="n">
        <v>0.27</v>
      </c>
      <c r="G23" s="8" t="n">
        <f aca="false">E23*F23</f>
        <v>374.031</v>
      </c>
      <c r="H23" s="6" t="n">
        <v>14</v>
      </c>
      <c r="I23" s="6" t="n">
        <v>14</v>
      </c>
      <c r="J23" s="8" t="n">
        <f aca="false">ROUND(SQRT(2*C23*D23/G23),0)</f>
        <v>188</v>
      </c>
      <c r="K23" s="8" t="n">
        <f aca="false">ROUND($C$2*I23*SQRT(H23),0)</f>
        <v>86</v>
      </c>
      <c r="L23" s="8" t="n">
        <f aca="false">ROUND((C23/365)*H23+K23,0)</f>
        <v>602</v>
      </c>
      <c r="M23" s="8" t="n">
        <f aca="false">ROUND((C23/J23)*D23+(J23/2)*G23,2)</f>
        <v>70443.94</v>
      </c>
    </row>
    <row r="24" customFormat="false" ht="15" hidden="false" customHeight="false" outlineLevel="0" collapsed="false">
      <c r="A24" s="6" t="s">
        <v>43</v>
      </c>
      <c r="B24" s="6" t="s">
        <v>32</v>
      </c>
      <c r="C24" s="6" t="n">
        <v>17210</v>
      </c>
      <c r="D24" s="6" t="n">
        <v>158.76</v>
      </c>
      <c r="E24" s="6" t="n">
        <v>2328.42</v>
      </c>
      <c r="F24" s="7" t="n">
        <v>0.28</v>
      </c>
      <c r="G24" s="8" t="n">
        <f aca="false">E24*F24</f>
        <v>651.9576</v>
      </c>
      <c r="H24" s="6" t="n">
        <v>7</v>
      </c>
      <c r="I24" s="6" t="n">
        <v>9.9</v>
      </c>
      <c r="J24" s="8" t="n">
        <f aca="false">ROUND(SQRT(2*C24*D24/G24),0)</f>
        <v>92</v>
      </c>
      <c r="K24" s="8" t="n">
        <f aca="false">ROUND($C$2*I24*SQRT(H24),0)</f>
        <v>43</v>
      </c>
      <c r="L24" s="8" t="n">
        <f aca="false">ROUND((C24/365)*H24+K24,0)</f>
        <v>373</v>
      </c>
      <c r="M24" s="8" t="n">
        <f aca="false">ROUND((C24/J24)*D24+(J24/2)*G24,2)</f>
        <v>59688.52</v>
      </c>
    </row>
    <row r="25" customFormat="false" ht="15" hidden="false" customHeight="false" outlineLevel="0" collapsed="false">
      <c r="A25" s="6" t="s">
        <v>44</v>
      </c>
      <c r="B25" s="6" t="s">
        <v>20</v>
      </c>
      <c r="C25" s="6" t="n">
        <v>3780</v>
      </c>
      <c r="D25" s="6" t="n">
        <v>188.54</v>
      </c>
      <c r="E25" s="6" t="n">
        <v>1256.1</v>
      </c>
      <c r="F25" s="7" t="n">
        <v>0.16</v>
      </c>
      <c r="G25" s="8" t="n">
        <f aca="false">E25*F25</f>
        <v>200.976</v>
      </c>
      <c r="H25" s="6" t="n">
        <v>14</v>
      </c>
      <c r="I25" s="6" t="n">
        <v>3.5</v>
      </c>
      <c r="J25" s="8" t="n">
        <f aca="false">ROUND(SQRT(2*C25*D25/G25),0)</f>
        <v>84</v>
      </c>
      <c r="K25" s="8" t="n">
        <f aca="false">ROUND($C$2*I25*SQRT(H25),0)</f>
        <v>22</v>
      </c>
      <c r="L25" s="8" t="n">
        <f aca="false">ROUND((C25/365)*H25+K25,0)</f>
        <v>167</v>
      </c>
      <c r="M25" s="8" t="n">
        <f aca="false">ROUND((C25/J25)*D25+(J25/2)*G25,2)</f>
        <v>16925.29</v>
      </c>
    </row>
    <row r="26" customFormat="false" ht="15" hidden="false" customHeight="false" outlineLevel="0" collapsed="false">
      <c r="A26" s="6" t="s">
        <v>45</v>
      </c>
      <c r="B26" s="6" t="s">
        <v>22</v>
      </c>
      <c r="C26" s="6" t="n">
        <v>16774</v>
      </c>
      <c r="D26" s="6" t="n">
        <v>576.08</v>
      </c>
      <c r="E26" s="6" t="n">
        <v>479.61</v>
      </c>
      <c r="F26" s="7" t="n">
        <v>0.23</v>
      </c>
      <c r="G26" s="8" t="n">
        <f aca="false">E26*F26</f>
        <v>110.3103</v>
      </c>
      <c r="H26" s="6" t="n">
        <v>14</v>
      </c>
      <c r="I26" s="6" t="n">
        <v>11.8</v>
      </c>
      <c r="J26" s="8" t="n">
        <f aca="false">ROUND(SQRT(2*C26*D26/G26),0)</f>
        <v>419</v>
      </c>
      <c r="K26" s="8" t="n">
        <f aca="false">ROUND($C$2*I26*SQRT(H26),0)</f>
        <v>73</v>
      </c>
      <c r="L26" s="8" t="n">
        <f aca="false">ROUND((C26/365)*H26+K26,0)</f>
        <v>716</v>
      </c>
      <c r="M26" s="8" t="n">
        <f aca="false">ROUND((C26/J26)*D26+(J26/2)*G26,2)</f>
        <v>46172.46</v>
      </c>
    </row>
    <row r="27" customFormat="false" ht="15" hidden="false" customHeight="false" outlineLevel="0" collapsed="false">
      <c r="A27" s="6" t="s">
        <v>46</v>
      </c>
      <c r="B27" s="6" t="s">
        <v>20</v>
      </c>
      <c r="C27" s="6" t="n">
        <v>7791</v>
      </c>
      <c r="D27" s="6" t="n">
        <v>470.83</v>
      </c>
      <c r="E27" s="6" t="n">
        <v>1045.56</v>
      </c>
      <c r="F27" s="7" t="n">
        <v>0.25</v>
      </c>
      <c r="G27" s="8" t="n">
        <f aca="false">E27*F27</f>
        <v>261.39</v>
      </c>
      <c r="H27" s="6" t="n">
        <v>7</v>
      </c>
      <c r="I27" s="6" t="n">
        <v>5.5</v>
      </c>
      <c r="J27" s="8" t="n">
        <f aca="false">ROUND(SQRT(2*C27*D27/G27),0)</f>
        <v>168</v>
      </c>
      <c r="K27" s="8" t="n">
        <f aca="false">ROUND($C$2*I27*SQRT(H27),0)</f>
        <v>24</v>
      </c>
      <c r="L27" s="8" t="n">
        <f aca="false">ROUND((C27/365)*H27+K27,0)</f>
        <v>173</v>
      </c>
      <c r="M27" s="8" t="n">
        <f aca="false">ROUND((C27/J27)*D27+(J27/2)*G27,2)</f>
        <v>43791.5</v>
      </c>
    </row>
    <row r="28" customFormat="false" ht="15" hidden="false" customHeight="false" outlineLevel="0" collapsed="false">
      <c r="A28" s="6" t="s">
        <v>47</v>
      </c>
      <c r="B28" s="6" t="s">
        <v>34</v>
      </c>
      <c r="C28" s="6" t="n">
        <v>5165</v>
      </c>
      <c r="D28" s="6" t="n">
        <v>261.56</v>
      </c>
      <c r="E28" s="6" t="n">
        <v>234.94</v>
      </c>
      <c r="F28" s="7" t="n">
        <v>0.15</v>
      </c>
      <c r="G28" s="8" t="n">
        <f aca="false">E28*F28</f>
        <v>35.241</v>
      </c>
      <c r="H28" s="6" t="n">
        <v>14</v>
      </c>
      <c r="I28" s="6" t="n">
        <v>2.9</v>
      </c>
      <c r="J28" s="8" t="n">
        <f aca="false">ROUND(SQRT(2*C28*D28/G28),0)</f>
        <v>277</v>
      </c>
      <c r="K28" s="8" t="n">
        <f aca="false">ROUND($C$2*I28*SQRT(H28),0)</f>
        <v>18</v>
      </c>
      <c r="L28" s="8" t="n">
        <f aca="false">ROUND((C28/365)*H28+K28,0)</f>
        <v>216</v>
      </c>
      <c r="M28" s="8" t="n">
        <f aca="false">ROUND((C28/J28)*D28+(J28/2)*G28,2)</f>
        <v>9757.98</v>
      </c>
    </row>
    <row r="29" customFormat="false" ht="15" hidden="false" customHeight="false" outlineLevel="0" collapsed="false">
      <c r="A29" s="6" t="s">
        <v>48</v>
      </c>
      <c r="B29" s="6" t="s">
        <v>20</v>
      </c>
      <c r="C29" s="6" t="n">
        <v>1435</v>
      </c>
      <c r="D29" s="6" t="n">
        <v>181.95</v>
      </c>
      <c r="E29" s="6" t="n">
        <v>1607.27</v>
      </c>
      <c r="F29" s="7" t="n">
        <v>0.18</v>
      </c>
      <c r="G29" s="8" t="n">
        <f aca="false">E29*F29</f>
        <v>289.3086</v>
      </c>
      <c r="H29" s="6" t="n">
        <v>3</v>
      </c>
      <c r="I29" s="6" t="n">
        <v>1.4</v>
      </c>
      <c r="J29" s="8" t="n">
        <f aca="false">ROUND(SQRT(2*C29*D29/G29),0)</f>
        <v>42</v>
      </c>
      <c r="K29" s="8" t="n">
        <f aca="false">ROUND($C$2*I29*SQRT(H29),0)</f>
        <v>4</v>
      </c>
      <c r="L29" s="8" t="n">
        <f aca="false">ROUND((C29/365)*H29+K29,0)</f>
        <v>16</v>
      </c>
      <c r="M29" s="8" t="n">
        <f aca="false">ROUND((C29/J29)*D29+(J29/2)*G29,2)</f>
        <v>12292.11</v>
      </c>
    </row>
    <row r="32" customFormat="false" ht="15" hidden="false" customHeight="false" outlineLevel="0" collapsed="false">
      <c r="A32" s="9" t="s">
        <v>49</v>
      </c>
    </row>
    <row r="33" customFormat="false" ht="15" hidden="false" customHeight="false" outlineLevel="0" collapsed="false">
      <c r="A33" s="10" t="s">
        <v>50</v>
      </c>
      <c r="B33" s="11" t="n">
        <f aca="false">COUNTA(A5:A29)</f>
        <v>25</v>
      </c>
    </row>
    <row r="34" customFormat="false" ht="15" hidden="false" customHeight="false" outlineLevel="0" collapsed="false">
      <c r="A34" s="10" t="s">
        <v>51</v>
      </c>
      <c r="B34" s="11" t="n">
        <f aca="false">ROUND(AVERAGE(J5:J29),0)</f>
        <v>178</v>
      </c>
    </row>
    <row r="35" customFormat="false" ht="15" hidden="false" customHeight="false" outlineLevel="0" collapsed="false">
      <c r="A35" s="10" t="s">
        <v>52</v>
      </c>
      <c r="B35" s="11" t="n">
        <f aca="false">ROUND(AVERAGE(L5:L29),0)</f>
        <v>269</v>
      </c>
    </row>
    <row r="36" customFormat="false" ht="15" hidden="false" customHeight="false" outlineLevel="0" collapsed="false">
      <c r="A36" s="10" t="s">
        <v>53</v>
      </c>
      <c r="B36" s="11" t="n">
        <f aca="false">ROUND(SUM(M5:M29),2)</f>
        <v>1013122.6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2026-08-14T09:54:07Z</dcterms:created>
  <dc:creator>openpyxl</dc:creator>
  <dc:description/>
  <dc:language>en-US</dc:language>
  <cp:lastModifiedBy/>
  <dcterms:modified xsi:type="dcterms:W3CDTF">2026-08-14T09:54:10Z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