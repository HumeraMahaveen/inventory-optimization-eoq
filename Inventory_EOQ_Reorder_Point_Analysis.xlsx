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43" windowHeight="4956" tabRatio="500"/>
  </bookViews>
  <sheets>
    <sheet name="Inventory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<sst xmlns="http://schemas.openxmlformats.org/spreadsheetml/2006/main" count="71" uniqueCount="54">
  <si>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SKU Inventory Optimization — EOQ &amp; Reorder Point Analysis</t>
  </si>
  <si>
    <t>Z-score (95% service level):</t>
  </si>
  <si>
    <t>(blue cell = editable input; adjust to change service level assumption)</t>
  </si>
  <si>
    <t>SKU</t>
  </si>
  <si>
    <t>Category</t>
  </si>
  <si>
    <t>Annual Demand (units)</t>
  </si>
  <si>
    <t>Ordering Cost/Order ($)</t>
  </si>
  <si>
    <t>Unit Cost ($)</t>
  </si>
  <si>
    <t xml:space="preserve">Holding Cost % </t>
  </si>
  <si>
    <t>Holding Cost/Unit/Yr ($)</t>
  </si>
  <si>
    <t>Lead Time (days)</t>
  </si>
  <si>
    <t>Daily Demand Std Dev</t>
  </si>
  <si>
    <t>EOQ (units)</t>
  </si>
  <si>
    <t>Safety Stock (units)</t>
  </si>
  <si>
    <t>Reorder Point (units)</t>
  </si>
  <si>
    <t>Annual Ordering+Holding Cost ($)</t>
  </si>
  <si>
    <t>FK-1001</t>
  </si>
  <si>
    <t>Apparel</t>
  </si>
  <si>
    <t>FK-1002</t>
  </si>
  <si>
    <t>FK-1003</t>
  </si>
  <si>
    <t>Grocery</t>
  </si>
  <si>
    <t>FK-1004</t>
  </si>
  <si>
    <t>Home &amp; Kitchen</t>
  </si>
  <si>
    <t>FK-1005</t>
  </si>
  <si>
    <t>Books</t>
  </si>
  <si>
    <t>FK-1006</t>
  </si>
  <si>
    <t>FK-1007</t>
  </si>
  <si>
    <t>FK-1008</t>
  </si>
  <si>
    <t>FK-1009</t>
  </si>
  <si>
    <t>Footwear</t>
  </si>
  <si>
    <t>FK-1010</t>
  </si>
  <si>
    <t>FK-1011</t>
  </si>
  <si>
    <t>Toys</t>
  </si>
  <si>
    <t>FK-1012</t>
  </si>
  <si>
    <t>Beauty</t>
  </si>
  <si>
    <t>FK-1013</t>
  </si>
  <si>
    <t>FK-1014</t>
  </si>
  <si>
    <t>FK-1015</t>
  </si>
  <si>
    <t>FK-1016</t>
  </si>
  <si>
    <t>Electronics</t>
  </si>
  <si>
    <t>FK-1017</t>
  </si>
  <si>
    <t>FK-1018</t>
  </si>
  <si>
    <t>FK-1019</t>
  </si>
  <si>
    <t>FK-1020</t>
  </si>
  <si>
    <t>FK-1021</t>
  </si>
  <si>
    <t>FK-1022</t>
  </si>
  <si>
    <t>FK-1023</t>
  </si>
  <si>
    <t>FK-1024</t>
  </si>
  <si>
    <t>FK-1025</t>
  </si>
  <si>
    <t>Summary Metrics</t>
  </si>
  <si>
    <t>Total SKUs analyzed</t>
  </si>
  <si>
    <t>Avg EOQ (units)</t>
  </si>
  <si>
    <t>Avg Reorder Point (units)</t>
  </si>
  <si>
    <t>Total Annual Inventory Cost ($)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</si>
</sst>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charset val="1"/>
    </font>
    <font>
      <b/>
      <sz val="14"/>
      <color rgb="FF1F4E78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9" fontId="3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EOQ by SKU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Analysis'!$J$4</c:f>
              <c:strCache>
                <c:ptCount val="1"/>
                <c:pt idx="0">
                  <c:v>EOQ (units)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'Inventory Analysis'!$A$5:$A$14</c:f>
              <c:strCache>
                <c:ptCount val="10"/>
                <c:pt idx="0">
                  <c:v>FK-1001</c:v>
                </c:pt>
                <c:pt idx="1">
                  <c:v>FK-1002</c:v>
                </c:pt>
                <c:pt idx="2">
                  <c:v>FK-1003</c:v>
                </c:pt>
                <c:pt idx="3">
                  <c:v>FK-1004</c:v>
                </c:pt>
                <c:pt idx="4">
                  <c:v>FK-1005</c:v>
                </c:pt>
                <c:pt idx="5">
                  <c:v>FK-1006</c:v>
                </c:pt>
                <c:pt idx="6">
                  <c:v>FK-1007</c:v>
                </c:pt>
                <c:pt idx="7">
                  <c:v>FK-1008</c:v>
                </c:pt>
                <c:pt idx="8">
                  <c:v>FK-1009</c:v>
                </c:pt>
                <c:pt idx="9">
                  <c:v>FK-1010</c:v>
                </c:pt>
              </c:strCache>
            </c:strRef>
          </c:cat>
          <c:val>
            <c:numRef>
              <c:f>'Inventory Analysis'!$J$5:$J$14</c:f>
              <c:numCache>
                <c:formatCode>General</c:formatCode>
                <c:ptCount val="10"/>
                <c:pt idx="0">
                  <c:v>131</c:v>
                </c:pt>
                <c:pt idx="1">
                  <c:v>299</c:v>
                </c:pt>
                <c:pt idx="2">
                  <c:v>135</c:v>
                </c:pt>
                <c:pt idx="3">
                  <c:v>263</c:v>
                </c:pt>
                <c:pt idx="4">
                  <c:v>125</c:v>
                </c:pt>
                <c:pt idx="5">
                  <c:v>163</c:v>
                </c:pt>
                <c:pt idx="6">
                  <c:v>64</c:v>
                </c:pt>
                <c:pt idx="7">
                  <c:v>143</c:v>
                </c:pt>
                <c:pt idx="8">
                  <c:v>153</c:v>
                </c:pt>
                <c:pt idx="9">
                  <c:v>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0322555"/>
        <c:axId val="38814101"/>
      </c:barChart>
      <c:catAx>
        <c:axId val="703225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SKU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8814101"/>
        <c:crosses val="autoZero"/>
        <c:auto val="1"/>
        <c:lblAlgn val="ctr"/>
        <c:lblOffset val="100"/>
        <c:noMultiLvlLbl val="0"/>
      </c:catAx>
      <c:valAx>
        <c:axId val="3881410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Units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322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4547df-c481-47b2-b63f-77c1e531928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37</xdr:row>
      <xdr:rowOff>160560</xdr:rowOff>
    </xdr:from>
    <xdr:to>
      <xdr:col>6</xdr:col>
      <xdr:colOff>699840</xdr:colOff>
      <xdr:row>54</xdr:row>
      <xdr:rowOff>161640</xdr:rowOff>
    </xdr:to>
    <xdr:graphicFrame>
      <xdr:nvGraphicFramePr>
        <xdr:cNvPr id="2" name="Chart 1"/>
        <xdr:cNvGraphicFramePr/>
      </xdr:nvGraphicFramePr>
      <xdr:xfrm>
        <a:off x="0" y="7197090"/>
        <a:ext cx="6323330" cy="3110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pane ySplit="4" topLeftCell="A5" activePane="bottomLeft" state="frozen"/>
      <selection/>
      <selection pane="bottomLeft" activeCell="H4" sqref="H4"/>
    </sheetView>
  </sheetViews>
  <sheetFormatPr defaultColWidth="8.67592592592593" defaultRowHeight="14.4"/>
  <cols>
    <col min="1" max="1" width="10" customWidth="1"/>
    <col min="2" max="2" width="15" customWidth="1"/>
    <col min="3" max="4" width="16" customWidth="1"/>
    <col min="5" max="5" width="12" customWidth="1"/>
    <col min="6" max="6" width="13" customWidth="1"/>
    <col min="7" max="7" width="16" customWidth="1"/>
    <col min="8" max="8" width="12" customWidth="1"/>
    <col min="9" max="9" width="14" customWidth="1"/>
    <col min="10" max="10" width="10" customWidth="1"/>
    <col min="11" max="11" width="12" customWidth="1"/>
    <col min="12" max="12" width="14" customWidth="1"/>
    <col min="13" max="13" width="18" customWidth="1"/>
  </cols>
  <sheetData>
    <row r="1" ht="17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C2" s="3">
        <v>1.65</v>
      </c>
      <c r="D2" s="4" t="s">
        <v>2</v>
      </c>
    </row>
    <row r="4" ht="31.5" customHeight="1" spans="1:1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>
      <c r="A5" s="6" t="s">
        <v>16</v>
      </c>
      <c r="B5" s="6" t="s">
        <v>17</v>
      </c>
      <c r="C5" s="6">
        <v>2019</v>
      </c>
      <c r="D5" s="6">
        <v>483.7</v>
      </c>
      <c r="E5" s="6">
        <v>672.64</v>
      </c>
      <c r="F5" s="7">
        <v>0.17</v>
      </c>
      <c r="G5" s="8">
        <f t="shared" ref="G5:G29" si="0">E5*F5</f>
        <v>114.3488</v>
      </c>
      <c r="H5" s="6">
        <v>3</v>
      </c>
      <c r="I5" s="6">
        <v>1.8</v>
      </c>
      <c r="J5" s="8">
        <f t="shared" ref="J5:J29" si="1">ROUND(SQRT(2*C5*D5/G5),0)</f>
        <v>131</v>
      </c>
      <c r="K5" s="8">
        <f t="shared" ref="K5:K29" si="2">ROUND($C$2*I5*SQRT(H5),0)</f>
        <v>5</v>
      </c>
      <c r="L5" s="8">
        <f t="shared" ref="L5:L29" si="3">ROUND((C5/365)*H5+K5,0)</f>
        <v>22</v>
      </c>
      <c r="M5" s="8">
        <f t="shared" ref="M5:M29" si="4">ROUND((C5/J5)*D5+(J5/2)*G5,2)</f>
        <v>14944.73</v>
      </c>
    </row>
    <row r="6" spans="1:13">
      <c r="A6" s="6" t="s">
        <v>18</v>
      </c>
      <c r="B6" s="6" t="s">
        <v>17</v>
      </c>
      <c r="C6" s="6">
        <v>15025</v>
      </c>
      <c r="D6" s="6">
        <v>164.3</v>
      </c>
      <c r="E6" s="6">
        <v>306.74</v>
      </c>
      <c r="F6" s="7">
        <v>0.18</v>
      </c>
      <c r="G6" s="8">
        <f t="shared" si="0"/>
        <v>55.2132</v>
      </c>
      <c r="H6" s="6">
        <v>14</v>
      </c>
      <c r="I6" s="6">
        <v>6.4</v>
      </c>
      <c r="J6" s="8">
        <f t="shared" si="1"/>
        <v>299</v>
      </c>
      <c r="K6" s="8">
        <f t="shared" si="2"/>
        <v>40</v>
      </c>
      <c r="L6" s="8">
        <f t="shared" si="3"/>
        <v>616</v>
      </c>
      <c r="M6" s="8">
        <f t="shared" si="4"/>
        <v>16510.59</v>
      </c>
    </row>
    <row r="7" spans="1:13">
      <c r="A7" s="6" t="s">
        <v>19</v>
      </c>
      <c r="B7" s="6" t="s">
        <v>20</v>
      </c>
      <c r="C7" s="6">
        <v>14946</v>
      </c>
      <c r="D7" s="6">
        <v>249.2</v>
      </c>
      <c r="E7" s="6">
        <v>1506.02</v>
      </c>
      <c r="F7" s="7">
        <v>0.27</v>
      </c>
      <c r="G7" s="8">
        <f t="shared" si="0"/>
        <v>406.6254</v>
      </c>
      <c r="H7" s="6">
        <v>3</v>
      </c>
      <c r="I7" s="6">
        <v>13.9</v>
      </c>
      <c r="J7" s="8">
        <f t="shared" si="1"/>
        <v>135</v>
      </c>
      <c r="K7" s="8">
        <f t="shared" si="2"/>
        <v>40</v>
      </c>
      <c r="L7" s="8">
        <f t="shared" si="3"/>
        <v>163</v>
      </c>
      <c r="M7" s="8">
        <f t="shared" si="4"/>
        <v>55036.42</v>
      </c>
    </row>
    <row r="8" spans="1:13">
      <c r="A8" s="6" t="s">
        <v>21</v>
      </c>
      <c r="B8" s="6" t="s">
        <v>22</v>
      </c>
      <c r="C8" s="6">
        <v>15048</v>
      </c>
      <c r="D8" s="6">
        <v>303.11</v>
      </c>
      <c r="E8" s="6">
        <v>456.26</v>
      </c>
      <c r="F8" s="7">
        <v>0.29</v>
      </c>
      <c r="G8" s="8">
        <f t="shared" si="0"/>
        <v>132.3154</v>
      </c>
      <c r="H8" s="6">
        <v>7</v>
      </c>
      <c r="I8" s="6">
        <v>7.2</v>
      </c>
      <c r="J8" s="8">
        <f t="shared" si="1"/>
        <v>263</v>
      </c>
      <c r="K8" s="8">
        <f t="shared" si="2"/>
        <v>31</v>
      </c>
      <c r="L8" s="8">
        <f t="shared" si="3"/>
        <v>320</v>
      </c>
      <c r="M8" s="8">
        <f t="shared" si="4"/>
        <v>34742.44</v>
      </c>
    </row>
    <row r="9" spans="1:13">
      <c r="A9" s="6" t="s">
        <v>23</v>
      </c>
      <c r="B9" s="6" t="s">
        <v>24</v>
      </c>
      <c r="C9" s="6">
        <v>4369</v>
      </c>
      <c r="D9" s="6">
        <v>311.54</v>
      </c>
      <c r="E9" s="6">
        <v>912.37</v>
      </c>
      <c r="F9" s="7">
        <v>0.19</v>
      </c>
      <c r="G9" s="8">
        <f t="shared" si="0"/>
        <v>173.3503</v>
      </c>
      <c r="H9" s="6">
        <v>3</v>
      </c>
      <c r="I9" s="6">
        <v>4</v>
      </c>
      <c r="J9" s="8">
        <f t="shared" si="1"/>
        <v>125</v>
      </c>
      <c r="K9" s="8">
        <f t="shared" si="2"/>
        <v>11</v>
      </c>
      <c r="L9" s="8">
        <f t="shared" si="3"/>
        <v>47</v>
      </c>
      <c r="M9" s="8">
        <f t="shared" si="4"/>
        <v>21723.34</v>
      </c>
    </row>
    <row r="10" spans="1:13">
      <c r="A10" s="6" t="s">
        <v>25</v>
      </c>
      <c r="B10" s="6" t="s">
        <v>17</v>
      </c>
      <c r="C10" s="6">
        <v>13603</v>
      </c>
      <c r="D10" s="6">
        <v>185.46</v>
      </c>
      <c r="E10" s="6">
        <v>789.49</v>
      </c>
      <c r="F10" s="7">
        <v>0.24</v>
      </c>
      <c r="G10" s="8">
        <f t="shared" si="0"/>
        <v>189.4776</v>
      </c>
      <c r="H10" s="6">
        <v>7</v>
      </c>
      <c r="I10" s="6">
        <v>11</v>
      </c>
      <c r="J10" s="8">
        <f t="shared" si="1"/>
        <v>163</v>
      </c>
      <c r="K10" s="8">
        <f t="shared" si="2"/>
        <v>48</v>
      </c>
      <c r="L10" s="8">
        <f t="shared" si="3"/>
        <v>309</v>
      </c>
      <c r="M10" s="8">
        <f t="shared" si="4"/>
        <v>30919.8</v>
      </c>
    </row>
    <row r="11" spans="1:13">
      <c r="A11" s="6" t="s">
        <v>26</v>
      </c>
      <c r="B11" s="6" t="s">
        <v>17</v>
      </c>
      <c r="C11" s="6">
        <v>2701</v>
      </c>
      <c r="D11" s="6">
        <v>447.57</v>
      </c>
      <c r="E11" s="6">
        <v>1950.83</v>
      </c>
      <c r="F11" s="7">
        <v>0.3</v>
      </c>
      <c r="G11" s="8">
        <f t="shared" si="0"/>
        <v>585.249</v>
      </c>
      <c r="H11" s="6">
        <v>5</v>
      </c>
      <c r="I11" s="6">
        <v>2.7</v>
      </c>
      <c r="J11" s="8">
        <f t="shared" si="1"/>
        <v>64</v>
      </c>
      <c r="K11" s="8">
        <f t="shared" si="2"/>
        <v>10</v>
      </c>
      <c r="L11" s="8">
        <f t="shared" si="3"/>
        <v>47</v>
      </c>
      <c r="M11" s="8">
        <f t="shared" si="4"/>
        <v>37616.82</v>
      </c>
    </row>
    <row r="12" spans="1:13">
      <c r="A12" s="6" t="s">
        <v>27</v>
      </c>
      <c r="B12" s="6" t="s">
        <v>24</v>
      </c>
      <c r="C12" s="6">
        <v>10308</v>
      </c>
      <c r="D12" s="6">
        <v>354.03</v>
      </c>
      <c r="E12" s="6">
        <v>2098.55</v>
      </c>
      <c r="F12" s="7">
        <v>0.17</v>
      </c>
      <c r="G12" s="8">
        <f t="shared" si="0"/>
        <v>356.7535</v>
      </c>
      <c r="H12" s="6">
        <v>7</v>
      </c>
      <c r="I12" s="6">
        <v>5.7</v>
      </c>
      <c r="J12" s="8">
        <f t="shared" si="1"/>
        <v>143</v>
      </c>
      <c r="K12" s="8">
        <f t="shared" si="2"/>
        <v>25</v>
      </c>
      <c r="L12" s="8">
        <f t="shared" si="3"/>
        <v>223</v>
      </c>
      <c r="M12" s="8">
        <f t="shared" si="4"/>
        <v>51027.74</v>
      </c>
    </row>
    <row r="13" spans="1:13">
      <c r="A13" s="6" t="s">
        <v>28</v>
      </c>
      <c r="B13" s="6" t="s">
        <v>29</v>
      </c>
      <c r="C13" s="6">
        <v>3539</v>
      </c>
      <c r="D13" s="6">
        <v>424.11</v>
      </c>
      <c r="E13" s="6">
        <v>494.16</v>
      </c>
      <c r="F13" s="7">
        <v>0.26</v>
      </c>
      <c r="G13" s="8">
        <f t="shared" si="0"/>
        <v>128.4816</v>
      </c>
      <c r="H13" s="6">
        <v>5</v>
      </c>
      <c r="I13" s="6">
        <v>2.6</v>
      </c>
      <c r="J13" s="8">
        <f t="shared" si="1"/>
        <v>153</v>
      </c>
      <c r="K13" s="8">
        <f t="shared" si="2"/>
        <v>10</v>
      </c>
      <c r="L13" s="8">
        <f t="shared" si="3"/>
        <v>58</v>
      </c>
      <c r="M13" s="8">
        <f t="shared" si="4"/>
        <v>19638.81</v>
      </c>
    </row>
    <row r="14" spans="1:13">
      <c r="A14" s="6" t="s">
        <v>30</v>
      </c>
      <c r="B14" s="6" t="s">
        <v>29</v>
      </c>
      <c r="C14" s="6">
        <v>8396</v>
      </c>
      <c r="D14" s="6">
        <v>458.08</v>
      </c>
      <c r="E14" s="6">
        <v>2119.7</v>
      </c>
      <c r="F14" s="7">
        <v>0.27</v>
      </c>
      <c r="G14" s="8">
        <f t="shared" si="0"/>
        <v>572.319</v>
      </c>
      <c r="H14" s="6">
        <v>5</v>
      </c>
      <c r="I14" s="6">
        <v>8.2</v>
      </c>
      <c r="J14" s="8">
        <f t="shared" si="1"/>
        <v>116</v>
      </c>
      <c r="K14" s="8">
        <f t="shared" si="2"/>
        <v>30</v>
      </c>
      <c r="L14" s="8">
        <f t="shared" si="3"/>
        <v>145</v>
      </c>
      <c r="M14" s="8">
        <f t="shared" si="4"/>
        <v>66350.02</v>
      </c>
    </row>
    <row r="15" spans="1:13">
      <c r="A15" s="6" t="s">
        <v>31</v>
      </c>
      <c r="B15" s="6" t="s">
        <v>32</v>
      </c>
      <c r="C15" s="6">
        <v>14345</v>
      </c>
      <c r="D15" s="6">
        <v>270.48</v>
      </c>
      <c r="E15" s="6">
        <v>590.58</v>
      </c>
      <c r="F15" s="7">
        <v>0.29</v>
      </c>
      <c r="G15" s="8">
        <f t="shared" si="0"/>
        <v>171.2682</v>
      </c>
      <c r="H15" s="6">
        <v>7</v>
      </c>
      <c r="I15" s="6">
        <v>8</v>
      </c>
      <c r="J15" s="8">
        <f t="shared" si="1"/>
        <v>213</v>
      </c>
      <c r="K15" s="8">
        <f t="shared" si="2"/>
        <v>35</v>
      </c>
      <c r="L15" s="8">
        <f t="shared" si="3"/>
        <v>310</v>
      </c>
      <c r="M15" s="8">
        <f t="shared" si="4"/>
        <v>36456.19</v>
      </c>
    </row>
    <row r="16" spans="1:13">
      <c r="A16" s="6" t="s">
        <v>33</v>
      </c>
      <c r="B16" s="6" t="s">
        <v>34</v>
      </c>
      <c r="C16" s="6">
        <v>14164</v>
      </c>
      <c r="D16" s="6">
        <v>548.11</v>
      </c>
      <c r="E16" s="6">
        <v>1635.7</v>
      </c>
      <c r="F16" s="7">
        <v>0.17</v>
      </c>
      <c r="G16" s="8">
        <f t="shared" si="0"/>
        <v>278.069</v>
      </c>
      <c r="H16" s="6">
        <v>5</v>
      </c>
      <c r="I16" s="6">
        <v>8.2</v>
      </c>
      <c r="J16" s="8">
        <f t="shared" si="1"/>
        <v>236</v>
      </c>
      <c r="K16" s="8">
        <f t="shared" si="2"/>
        <v>30</v>
      </c>
      <c r="L16" s="8">
        <f t="shared" si="3"/>
        <v>224</v>
      </c>
      <c r="M16" s="8">
        <f t="shared" si="4"/>
        <v>65708.03</v>
      </c>
    </row>
    <row r="17" spans="1:13">
      <c r="A17" s="6" t="s">
        <v>35</v>
      </c>
      <c r="B17" s="6" t="s">
        <v>29</v>
      </c>
      <c r="C17" s="6">
        <v>15238</v>
      </c>
      <c r="D17" s="6">
        <v>554.02</v>
      </c>
      <c r="E17" s="6">
        <v>1046.55</v>
      </c>
      <c r="F17" s="7">
        <v>0.18</v>
      </c>
      <c r="G17" s="8">
        <f t="shared" si="0"/>
        <v>188.379</v>
      </c>
      <c r="H17" s="6">
        <v>5</v>
      </c>
      <c r="I17" s="6">
        <v>11.6</v>
      </c>
      <c r="J17" s="8">
        <f t="shared" si="1"/>
        <v>299</v>
      </c>
      <c r="K17" s="8">
        <f t="shared" si="2"/>
        <v>43</v>
      </c>
      <c r="L17" s="8">
        <f t="shared" si="3"/>
        <v>252</v>
      </c>
      <c r="M17" s="8">
        <f t="shared" si="4"/>
        <v>56397.3</v>
      </c>
    </row>
    <row r="18" spans="1:13">
      <c r="A18" s="6" t="s">
        <v>36</v>
      </c>
      <c r="B18" s="6" t="s">
        <v>17</v>
      </c>
      <c r="C18" s="6">
        <v>2743</v>
      </c>
      <c r="D18" s="6">
        <v>537.5</v>
      </c>
      <c r="E18" s="6">
        <v>449.88</v>
      </c>
      <c r="F18" s="7">
        <v>0.17</v>
      </c>
      <c r="G18" s="8">
        <f t="shared" si="0"/>
        <v>76.4796</v>
      </c>
      <c r="H18" s="6">
        <v>10</v>
      </c>
      <c r="I18" s="6">
        <v>2.2</v>
      </c>
      <c r="J18" s="8">
        <f t="shared" si="1"/>
        <v>196</v>
      </c>
      <c r="K18" s="8">
        <f t="shared" si="2"/>
        <v>11</v>
      </c>
      <c r="L18" s="8">
        <f t="shared" si="3"/>
        <v>86</v>
      </c>
      <c r="M18" s="8">
        <f t="shared" si="4"/>
        <v>15017.26</v>
      </c>
    </row>
    <row r="19" spans="1:13">
      <c r="A19" s="6" t="s">
        <v>37</v>
      </c>
      <c r="B19" s="6" t="s">
        <v>24</v>
      </c>
      <c r="C19" s="6">
        <v>13704</v>
      </c>
      <c r="D19" s="6">
        <v>418.15</v>
      </c>
      <c r="E19" s="6">
        <v>1212.68</v>
      </c>
      <c r="F19" s="7">
        <v>0.19</v>
      </c>
      <c r="G19" s="8">
        <f t="shared" si="0"/>
        <v>230.4092</v>
      </c>
      <c r="H19" s="6">
        <v>14</v>
      </c>
      <c r="I19" s="6">
        <v>13.7</v>
      </c>
      <c r="J19" s="8">
        <f t="shared" si="1"/>
        <v>223</v>
      </c>
      <c r="K19" s="8">
        <f t="shared" si="2"/>
        <v>85</v>
      </c>
      <c r="L19" s="8">
        <f t="shared" si="3"/>
        <v>611</v>
      </c>
      <c r="M19" s="8">
        <f t="shared" si="4"/>
        <v>51387.16</v>
      </c>
    </row>
    <row r="20" spans="1:13">
      <c r="A20" s="6" t="s">
        <v>38</v>
      </c>
      <c r="B20" s="6" t="s">
        <v>39</v>
      </c>
      <c r="C20" s="6">
        <v>4953</v>
      </c>
      <c r="D20" s="6">
        <v>456.77</v>
      </c>
      <c r="E20" s="6">
        <v>1379.47</v>
      </c>
      <c r="F20" s="7">
        <v>0.19</v>
      </c>
      <c r="G20" s="8">
        <f t="shared" si="0"/>
        <v>262.0993</v>
      </c>
      <c r="H20" s="6">
        <v>7</v>
      </c>
      <c r="I20" s="6">
        <v>2.4</v>
      </c>
      <c r="J20" s="8">
        <f t="shared" si="1"/>
        <v>131</v>
      </c>
      <c r="K20" s="8">
        <f t="shared" si="2"/>
        <v>10</v>
      </c>
      <c r="L20" s="8">
        <f t="shared" si="3"/>
        <v>105</v>
      </c>
      <c r="M20" s="8">
        <f t="shared" si="4"/>
        <v>34437.59</v>
      </c>
    </row>
    <row r="21" spans="1:13">
      <c r="A21" s="6" t="s">
        <v>40</v>
      </c>
      <c r="B21" s="6" t="s">
        <v>24</v>
      </c>
      <c r="C21" s="6">
        <v>6382</v>
      </c>
      <c r="D21" s="6">
        <v>354.18</v>
      </c>
      <c r="E21" s="6">
        <v>2388.23</v>
      </c>
      <c r="F21" s="7">
        <v>0.28</v>
      </c>
      <c r="G21" s="8">
        <f t="shared" si="0"/>
        <v>668.7044</v>
      </c>
      <c r="H21" s="6">
        <v>7</v>
      </c>
      <c r="I21" s="6">
        <v>6.9</v>
      </c>
      <c r="J21" s="8">
        <f t="shared" si="1"/>
        <v>82</v>
      </c>
      <c r="K21" s="8">
        <f t="shared" si="2"/>
        <v>30</v>
      </c>
      <c r="L21" s="8">
        <f t="shared" si="3"/>
        <v>152</v>
      </c>
      <c r="M21" s="8">
        <f t="shared" si="4"/>
        <v>54982.45</v>
      </c>
    </row>
    <row r="22" spans="1:13">
      <c r="A22" s="6" t="s">
        <v>41</v>
      </c>
      <c r="B22" s="6" t="s">
        <v>22</v>
      </c>
      <c r="C22" s="6">
        <v>17835</v>
      </c>
      <c r="D22" s="6">
        <v>560.68</v>
      </c>
      <c r="E22" s="6">
        <v>2186.65</v>
      </c>
      <c r="F22" s="7">
        <v>0.19</v>
      </c>
      <c r="G22" s="8">
        <f t="shared" si="0"/>
        <v>415.4635</v>
      </c>
      <c r="H22" s="6">
        <v>14</v>
      </c>
      <c r="I22" s="6">
        <v>14.8</v>
      </c>
      <c r="J22" s="8">
        <f t="shared" si="1"/>
        <v>219</v>
      </c>
      <c r="K22" s="8">
        <f t="shared" si="2"/>
        <v>91</v>
      </c>
      <c r="L22" s="8">
        <f t="shared" si="3"/>
        <v>775</v>
      </c>
      <c r="M22" s="8">
        <f t="shared" si="4"/>
        <v>91154.11</v>
      </c>
    </row>
    <row r="23" spans="1:13">
      <c r="A23" s="6" t="s">
        <v>42</v>
      </c>
      <c r="B23" s="6" t="s">
        <v>22</v>
      </c>
      <c r="C23" s="6">
        <v>13452</v>
      </c>
      <c r="D23" s="6">
        <v>493.13</v>
      </c>
      <c r="E23" s="6">
        <v>1385.3</v>
      </c>
      <c r="F23" s="7">
        <v>0.27</v>
      </c>
      <c r="G23" s="8">
        <f t="shared" si="0"/>
        <v>374.031</v>
      </c>
      <c r="H23" s="6">
        <v>14</v>
      </c>
      <c r="I23" s="6">
        <v>14</v>
      </c>
      <c r="J23" s="8">
        <f t="shared" si="1"/>
        <v>188</v>
      </c>
      <c r="K23" s="8">
        <f t="shared" si="2"/>
        <v>86</v>
      </c>
      <c r="L23" s="8">
        <f t="shared" si="3"/>
        <v>602</v>
      </c>
      <c r="M23" s="8">
        <f t="shared" si="4"/>
        <v>70443.94</v>
      </c>
    </row>
    <row r="24" spans="1:13">
      <c r="A24" s="6" t="s">
        <v>43</v>
      </c>
      <c r="B24" s="6" t="s">
        <v>32</v>
      </c>
      <c r="C24" s="6">
        <v>17210</v>
      </c>
      <c r="D24" s="6">
        <v>158.76</v>
      </c>
      <c r="E24" s="6">
        <v>2328.42</v>
      </c>
      <c r="F24" s="7">
        <v>0.28</v>
      </c>
      <c r="G24" s="8">
        <f t="shared" si="0"/>
        <v>651.9576</v>
      </c>
      <c r="H24" s="6">
        <v>7</v>
      </c>
      <c r="I24" s="6">
        <v>9.9</v>
      </c>
      <c r="J24" s="8">
        <f t="shared" si="1"/>
        <v>92</v>
      </c>
      <c r="K24" s="8">
        <f t="shared" si="2"/>
        <v>43</v>
      </c>
      <c r="L24" s="8">
        <f t="shared" si="3"/>
        <v>373</v>
      </c>
      <c r="M24" s="8">
        <f t="shared" si="4"/>
        <v>59688.52</v>
      </c>
    </row>
    <row r="25" spans="1:13">
      <c r="A25" s="6" t="s">
        <v>44</v>
      </c>
      <c r="B25" s="6" t="s">
        <v>20</v>
      </c>
      <c r="C25" s="6">
        <v>3780</v>
      </c>
      <c r="D25" s="6">
        <v>188.54</v>
      </c>
      <c r="E25" s="6">
        <v>1256.1</v>
      </c>
      <c r="F25" s="7">
        <v>0.16</v>
      </c>
      <c r="G25" s="8">
        <f t="shared" si="0"/>
        <v>200.976</v>
      </c>
      <c r="H25" s="6">
        <v>14</v>
      </c>
      <c r="I25" s="6">
        <v>3.5</v>
      </c>
      <c r="J25" s="8">
        <f t="shared" si="1"/>
        <v>84</v>
      </c>
      <c r="K25" s="8">
        <f t="shared" si="2"/>
        <v>22</v>
      </c>
      <c r="L25" s="8">
        <f t="shared" si="3"/>
        <v>167</v>
      </c>
      <c r="M25" s="8">
        <f t="shared" si="4"/>
        <v>16925.29</v>
      </c>
    </row>
    <row r="26" spans="1:13">
      <c r="A26" s="6" t="s">
        <v>45</v>
      </c>
      <c r="B26" s="6" t="s">
        <v>22</v>
      </c>
      <c r="C26" s="6">
        <v>16774</v>
      </c>
      <c r="D26" s="6">
        <v>576.08</v>
      </c>
      <c r="E26" s="6">
        <v>479.61</v>
      </c>
      <c r="F26" s="7">
        <v>0.23</v>
      </c>
      <c r="G26" s="8">
        <f t="shared" si="0"/>
        <v>110.3103</v>
      </c>
      <c r="H26" s="6">
        <v>14</v>
      </c>
      <c r="I26" s="6">
        <v>11.8</v>
      </c>
      <c r="J26" s="8">
        <f t="shared" si="1"/>
        <v>419</v>
      </c>
      <c r="K26" s="8">
        <f t="shared" si="2"/>
        <v>73</v>
      </c>
      <c r="L26" s="8">
        <f t="shared" si="3"/>
        <v>716</v>
      </c>
      <c r="M26" s="8">
        <f t="shared" si="4"/>
        <v>46172.46</v>
      </c>
    </row>
    <row r="27" spans="1:13">
      <c r="A27" s="6" t="s">
        <v>46</v>
      </c>
      <c r="B27" s="6" t="s">
        <v>20</v>
      </c>
      <c r="C27" s="6">
        <v>7791</v>
      </c>
      <c r="D27" s="6">
        <v>470.83</v>
      </c>
      <c r="E27" s="6">
        <v>1045.56</v>
      </c>
      <c r="F27" s="7">
        <v>0.25</v>
      </c>
      <c r="G27" s="8">
        <f t="shared" si="0"/>
        <v>261.39</v>
      </c>
      <c r="H27" s="6">
        <v>7</v>
      </c>
      <c r="I27" s="6">
        <v>5.5</v>
      </c>
      <c r="J27" s="8">
        <f t="shared" si="1"/>
        <v>168</v>
      </c>
      <c r="K27" s="8">
        <f t="shared" si="2"/>
        <v>24</v>
      </c>
      <c r="L27" s="8">
        <f t="shared" si="3"/>
        <v>173</v>
      </c>
      <c r="M27" s="8">
        <f t="shared" si="4"/>
        <v>43791.5</v>
      </c>
    </row>
    <row r="28" spans="1:13">
      <c r="A28" s="6" t="s">
        <v>47</v>
      </c>
      <c r="B28" s="6" t="s">
        <v>34</v>
      </c>
      <c r="C28" s="6">
        <v>5165</v>
      </c>
      <c r="D28" s="6">
        <v>261.56</v>
      </c>
      <c r="E28" s="6">
        <v>234.94</v>
      </c>
      <c r="F28" s="7">
        <v>0.15</v>
      </c>
      <c r="G28" s="8">
        <f t="shared" si="0"/>
        <v>35.241</v>
      </c>
      <c r="H28" s="6">
        <v>14</v>
      </c>
      <c r="I28" s="6">
        <v>2.9</v>
      </c>
      <c r="J28" s="8">
        <f t="shared" si="1"/>
        <v>277</v>
      </c>
      <c r="K28" s="8">
        <f t="shared" si="2"/>
        <v>18</v>
      </c>
      <c r="L28" s="8">
        <f t="shared" si="3"/>
        <v>216</v>
      </c>
      <c r="M28" s="8">
        <f t="shared" si="4"/>
        <v>9757.98</v>
      </c>
    </row>
    <row r="29" spans="1:13">
      <c r="A29" s="6" t="s">
        <v>48</v>
      </c>
      <c r="B29" s="6" t="s">
        <v>20</v>
      </c>
      <c r="C29" s="6">
        <v>1435</v>
      </c>
      <c r="D29" s="6">
        <v>181.95</v>
      </c>
      <c r="E29" s="6">
        <v>1607.27</v>
      </c>
      <c r="F29" s="7">
        <v>0.18</v>
      </c>
      <c r="G29" s="8">
        <f t="shared" si="0"/>
        <v>289.3086</v>
      </c>
      <c r="H29" s="6">
        <v>3</v>
      </c>
      <c r="I29" s="6">
        <v>1.4</v>
      </c>
      <c r="J29" s="8">
        <f t="shared" si="1"/>
        <v>42</v>
      </c>
      <c r="K29" s="8">
        <f t="shared" si="2"/>
        <v>4</v>
      </c>
      <c r="L29" s="8">
        <f t="shared" si="3"/>
        <v>16</v>
      </c>
      <c r="M29" s="8">
        <f t="shared" si="4"/>
        <v>12292.11</v>
      </c>
    </row>
    <row r="32" ht="15.6" spans="1:13">
      <c r="A32" s="9" t="s">
        <v>49</v>
      </c>
    </row>
    <row r="33" spans="1:2">
      <c r="A33" s="10" t="s">
        <v>50</v>
      </c>
      <c r="B33" s="11">
        <f>COUNTA(A5:A29)</f>
        <v>25</v>
      </c>
    </row>
    <row r="34" spans="1:2">
      <c r="A34" s="10" t="s">
        <v>51</v>
      </c>
      <c r="B34" s="11">
        <f>ROUND(AVERAGE(J5:J29),0)</f>
        <v>178</v>
      </c>
    </row>
    <row r="35" spans="1:2">
      <c r="A35" s="10" t="s">
        <v>52</v>
      </c>
      <c r="B35" s="11">
        <f>ROUND(AVERAGE(L5:L29),0)</f>
        <v>269</v>
      </c>
    </row>
    <row r="36" spans="1:2">
      <c r="A36" s="10" t="s">
        <v>53</v>
      </c>
      <c r="B36" s="11">
        <f>ROUND(SUM(M5:M29),2)</f>
        <v>1013122.6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1</cp:revision>
  <dcterms:created xsi:type="dcterms:W3CDTF">2026-08-14T09:54:00Z</dcterms:created>
  <dcterms:modified xsi:type="dcterms:W3CDTF">2026-08-14T10:17:55Z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726EDD0703E144CDAFB09918E2431B52_12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